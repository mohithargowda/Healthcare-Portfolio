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f85542ab296404/Documents/"/>
    </mc:Choice>
  </mc:AlternateContent>
  <xr:revisionPtr revIDLastSave="280" documentId="8_{5BD27415-031C-4B87-8ACA-53BFBF9BD3B4}" xr6:coauthVersionLast="47" xr6:coauthVersionMax="47" xr10:uidLastSave="{2807973F-55AE-480F-8687-06E2D3B66171}"/>
  <bookViews>
    <workbookView xWindow="-108" yWindow="-108" windowWidth="23256" windowHeight="12456" xr2:uid="{10C1E56A-456E-416F-9AEE-E66610BF2CE9}"/>
  </bookViews>
  <sheets>
    <sheet name="Raw Data" sheetId="1" r:id="rId1"/>
    <sheet name="Dashboard sheet" sheetId="3" r:id="rId2"/>
    <sheet name="KP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7" i="2"/>
  <c r="B6" i="2"/>
  <c r="B9" i="2"/>
  <c r="B8" i="2"/>
  <c r="B3" i="2"/>
  <c r="B2" i="2"/>
  <c r="B4" i="2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<sst xmlns="http://schemas.openxmlformats.org/spreadsheetml/2006/main" count="25" uniqueCount="25">
  <si>
    <t>Date</t>
  </si>
  <si>
    <t>Scheduled Patients</t>
  </si>
  <si>
    <t>Completed Visits</t>
  </si>
  <si>
    <t>No-Shows</t>
  </si>
  <si>
    <t>Avg Revenue per Visit</t>
  </si>
  <si>
    <t>Estimated Revenue</t>
  </si>
  <si>
    <t>Lost Revenue from No-Shows</t>
  </si>
  <si>
    <t>Avg Wait Time (mins)</t>
  </si>
  <si>
    <t>Staff Overtime Hours</t>
  </si>
  <si>
    <t>KPI</t>
  </si>
  <si>
    <t>Formula</t>
  </si>
  <si>
    <t>Total Scheduled Patients</t>
  </si>
  <si>
    <t>Total Completed Visits</t>
  </si>
  <si>
    <t>Total No-Shows</t>
  </si>
  <si>
    <t>No- Show Rate</t>
  </si>
  <si>
    <t>Total Revenue</t>
  </si>
  <si>
    <t>Average Wait Time</t>
  </si>
  <si>
    <t>Total Overtime Hours</t>
  </si>
  <si>
    <t>Total Lost Revenue</t>
  </si>
  <si>
    <t>Healthcare Cost &amp; Workflow Efficiency Dashboard</t>
  </si>
  <si>
    <t>Outpatient Clinic Operational Analysis</t>
  </si>
  <si>
    <t>Key Insights</t>
  </si>
  <si>
    <t>No-shows resulted in measurable lost revenue across the 10-day period.</t>
  </si>
  <si>
    <t>Higher patient wait times were associated with increased staff overtime hours.</t>
  </si>
  <si>
    <t>Improving scheduling efficiency could reduce revenue leakage and improve clinic workflow.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</si>
</sst>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/>
    <xf numFmtId="164" fontId="0" fillId="0" borderId="0" xfId="1" applyNumberFormat="1" applyFont="1"/>
    <xf numFmtId="9" fontId="0" fillId="0" borderId="0" xfId="2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Completed</a:t>
            </a:r>
            <a:r>
              <a:rPr lang="en-US" b="1" baseline="0"/>
              <a:t> Visits vs No-Shows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Data'!$C$1</c:f>
              <c:strCache>
                <c:ptCount val="1"/>
                <c:pt idx="0">
                  <c:v>Completed Visits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'Raw Data'!$A$2:$A$11</c:f>
              <c:numCache>
                <c:formatCode>m/d/yyyy</c:formatCode>
                <c:ptCount val="10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</c:numCache>
            </c:numRef>
          </c:cat>
          <c:val>
            <c:numRef>
              <c:f>'Raw Data'!$C$2:$C$11</c:f>
              <c:numCache>
                <c:formatCode>General</c:formatCode>
                <c:ptCount val="10"/>
                <c:pt idx="0">
                  <c:v>17</c:v>
                </c:pt>
                <c:pt idx="1">
                  <c:v>19</c:v>
                </c:pt>
                <c:pt idx="2">
                  <c:v>16</c:v>
                </c:pt>
                <c:pt idx="3">
                  <c:v>20</c:v>
                </c:pt>
                <c:pt idx="4">
                  <c:v>18</c:v>
                </c:pt>
                <c:pt idx="5">
                  <c:v>20</c:v>
                </c:pt>
                <c:pt idx="6">
                  <c:v>17</c:v>
                </c:pt>
                <c:pt idx="7">
                  <c:v>21</c:v>
                </c:pt>
                <c:pt idx="8">
                  <c:v>18</c:v>
                </c:pt>
                <c:pt idx="9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6-4119-9771-BF6B790216A7}"/>
            </c:ext>
          </c:extLst>
        </c:ser>
        <c:ser>
          <c:idx val="1"/>
          <c:order val="1"/>
          <c:tx>
            <c:strRef>
              <c:f>'Raw Data'!$D$1</c:f>
              <c:strCache>
                <c:ptCount val="1"/>
                <c:pt idx="0">
                  <c:v>No-Shows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'Raw Data'!$A$2:$A$11</c:f>
              <c:numCache>
                <c:formatCode>m/d/yyyy</c:formatCode>
                <c:ptCount val="10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</c:numCache>
            </c:numRef>
          </c:cat>
          <c:val>
            <c:numRef>
              <c:f>'Raw Data'!$D$2:$D$11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6-4119-9771-BF6B79021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309279"/>
        <c:axId val="1370936847"/>
      </c:barChart>
      <c:dateAx>
        <c:axId val="13783092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936847"/>
        <c:crosses val="autoZero"/>
        <c:auto val="1"/>
        <c:lblOffset val="100"/>
        <c:baseTimeUnit val="days"/>
      </c:dateAx>
      <c:valAx>
        <c:axId val="137093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30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vs Lost Revenue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Data'!$F$1</c:f>
              <c:strCache>
                <c:ptCount val="1"/>
                <c:pt idx="0">
                  <c:v>Estimated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'Raw Data'!$A$2:$A$11</c:f>
              <c:numCache>
                <c:formatCode>m/d/yyyy</c:formatCode>
                <c:ptCount val="10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</c:numCache>
            </c:numRef>
          </c:cat>
          <c:val>
            <c:numRef>
              <c:f>'Raw Data'!$F$2:$F$11</c:f>
              <c:numCache>
                <c:formatCode>General</c:formatCode>
                <c:ptCount val="10"/>
                <c:pt idx="0">
                  <c:v>2040</c:v>
                </c:pt>
                <c:pt idx="1">
                  <c:v>2280</c:v>
                </c:pt>
                <c:pt idx="2">
                  <c:v>1920</c:v>
                </c:pt>
                <c:pt idx="3">
                  <c:v>2400</c:v>
                </c:pt>
                <c:pt idx="4">
                  <c:v>2160</c:v>
                </c:pt>
                <c:pt idx="5">
                  <c:v>2400</c:v>
                </c:pt>
                <c:pt idx="6">
                  <c:v>2040</c:v>
                </c:pt>
                <c:pt idx="7">
                  <c:v>2520</c:v>
                </c:pt>
                <c:pt idx="8">
                  <c:v>2160</c:v>
                </c:pt>
                <c:pt idx="9">
                  <c:v>2640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6-438C-BB70-CD64C35DB266}"/>
            </c:ext>
          </c:extLst>
        </c:ser>
        <c:ser>
          <c:idx val="1"/>
          <c:order val="1"/>
          <c:tx>
            <c:strRef>
              <c:f>'Raw Data'!$G$1</c:f>
              <c:strCache>
                <c:ptCount val="1"/>
                <c:pt idx="0">
                  <c:v>Lost Revenue from No-Shows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'Raw Data'!$A$2:$A$11</c:f>
              <c:numCache>
                <c:formatCode>m/d/yyyy</c:formatCode>
                <c:ptCount val="10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</c:numCache>
            </c:numRef>
          </c:cat>
          <c:val>
            <c:numRef>
              <c:f>'Raw Data'!$G$2:$G$11</c:f>
              <c:numCache>
                <c:formatCode>General</c:formatCode>
                <c:ptCount val="10"/>
                <c:pt idx="0">
                  <c:v>360</c:v>
                </c:pt>
                <c:pt idx="1">
                  <c:v>360</c:v>
                </c:pt>
                <c:pt idx="2">
                  <c:v>240</c:v>
                </c:pt>
                <c:pt idx="3">
                  <c:v>600</c:v>
                </c:pt>
                <c:pt idx="4">
                  <c:v>360</c:v>
                </c:pt>
                <c:pt idx="5">
                  <c:v>360</c:v>
                </c:pt>
                <c:pt idx="6">
                  <c:v>240</c:v>
                </c:pt>
                <c:pt idx="7">
                  <c:v>360</c:v>
                </c:pt>
                <c:pt idx="8">
                  <c:v>240</c:v>
                </c:pt>
                <c:pt idx="9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96-438C-BB70-CD64C35DB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441007"/>
        <c:axId val="1800438607"/>
      </c:barChart>
      <c:dateAx>
        <c:axId val="18004410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38607"/>
        <c:crosses val="autoZero"/>
        <c:auto val="1"/>
        <c:lblOffset val="100"/>
        <c:baseTimeUnit val="days"/>
      </c:dateAx>
      <c:valAx>
        <c:axId val="1800438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44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Wait Time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Data'!$H$1</c:f>
              <c:strCache>
                <c:ptCount val="1"/>
                <c:pt idx="0">
                  <c:v>Avg Wait Time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Data'!$A$2:$A$11</c:f>
              <c:numCache>
                <c:formatCode>m/d/yyyy</c:formatCode>
                <c:ptCount val="10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</c:numCache>
            </c:numRef>
          </c:cat>
          <c:val>
            <c:numRef>
              <c:f>'Raw Data'!$H$2:$H$11</c:f>
              <c:numCache>
                <c:formatCode>General</c:formatCode>
                <c:ptCount val="10"/>
                <c:pt idx="0">
                  <c:v>35</c:v>
                </c:pt>
                <c:pt idx="1">
                  <c:v>32</c:v>
                </c:pt>
                <c:pt idx="2">
                  <c:v>28</c:v>
                </c:pt>
                <c:pt idx="3">
                  <c:v>40</c:v>
                </c:pt>
                <c:pt idx="4">
                  <c:v>30</c:v>
                </c:pt>
                <c:pt idx="5">
                  <c:v>34</c:v>
                </c:pt>
                <c:pt idx="6">
                  <c:v>27</c:v>
                </c:pt>
                <c:pt idx="7">
                  <c:v>36</c:v>
                </c:pt>
                <c:pt idx="8">
                  <c:v>29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4-4BE6-B31F-5DDA14A9C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7248975"/>
        <c:axId val="1377247535"/>
      </c:lineChart>
      <c:dateAx>
        <c:axId val="13772489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47535"/>
        <c:crosses val="autoZero"/>
        <c:auto val="1"/>
        <c:lblOffset val="100"/>
        <c:baseTimeUnit val="days"/>
      </c:dateAx>
      <c:valAx>
        <c:axId val="137724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24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Staff Overtime Hours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Data'!$I$1</c:f>
              <c:strCache>
                <c:ptCount val="1"/>
                <c:pt idx="0">
                  <c:v>Staff Overtime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Data'!$A$2:$A$11</c:f>
              <c:numCache>
                <c:formatCode>m/d/yyyy</c:formatCode>
                <c:ptCount val="10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46032</c:v>
                </c:pt>
                <c:pt idx="5">
                  <c:v>46033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</c:numCache>
            </c:numRef>
          </c:cat>
          <c:val>
            <c:numRef>
              <c:f>'Raw Data'!$I$2:$I$11</c:f>
              <c:numCache>
                <c:formatCode>General</c:formatCode>
                <c:ptCount val="10"/>
                <c:pt idx="0">
                  <c:v>2</c:v>
                </c:pt>
                <c:pt idx="1">
                  <c:v>1.5</c:v>
                </c:pt>
                <c:pt idx="2">
                  <c:v>1</c:v>
                </c:pt>
                <c:pt idx="3">
                  <c:v>2.5</c:v>
                </c:pt>
                <c:pt idx="4">
                  <c:v>1</c:v>
                </c:pt>
                <c:pt idx="5">
                  <c:v>1.8</c:v>
                </c:pt>
                <c:pt idx="6">
                  <c:v>0.8</c:v>
                </c:pt>
                <c:pt idx="7">
                  <c:v>2.1</c:v>
                </c:pt>
                <c:pt idx="8">
                  <c:v>1.2</c:v>
                </c:pt>
                <c:pt idx="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2E-4D71-AB01-07E79550E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4418575"/>
        <c:axId val="1844419055"/>
      </c:lineChart>
      <c:dateAx>
        <c:axId val="18444185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19055"/>
        <c:crosses val="autoZero"/>
        <c:auto val="1"/>
        <c:lblOffset val="100"/>
        <c:baseTimeUnit val="days"/>
      </c:dateAx>
      <c:valAx>
        <c:axId val="184441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41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144667</xdr:rowOff>
    </xdr:from>
    <xdr:to>
      <xdr:col>7</xdr:col>
      <xdr:colOff>304800</xdr:colOff>
      <xdr:row>18</xdr:row>
      <xdr:rowOff>169504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191AE-7F83-47A8-8A7F-12DBC6168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120660</xdr:rowOff>
    </xdr:from>
    <xdr:to>
      <xdr:col>7</xdr:col>
      <xdr:colOff>304800</xdr:colOff>
      <xdr:row>34</xdr:row>
      <xdr:rowOff>120659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946362-8927-48BC-9FD3-F0582A43D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125105</xdr:colOff>
      <xdr:row>43</xdr:row>
      <xdr:rowOff>153643</xdr:rowOff>
    </xdr:from>
    <xdr:to>
      <xdr:col>7</xdr:col>
      <xdr:colOff>429905</xdr:colOff>
      <xdr:row>58</xdr:row>
      <xdr:rowOff>153643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50D4C8-E2C8-417A-9258-41CC25DE1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34119</xdr:colOff>
      <xdr:row>60</xdr:row>
      <xdr:rowOff>29145</xdr:rowOff>
    </xdr:from>
    <xdr:to>
      <xdr:col>7</xdr:col>
      <xdr:colOff>338919</xdr:colOff>
      <xdr:row>75</xdr:row>
      <xdr:rowOff>29144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F232F4-950F-4581-9E2F-A603CB135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FC74-6A34-4BC7-B21F-2A628CF86654}">
  <dimension ref="A1:I1048576"/>
  <sheetViews>
    <sheetView tabSelected="1" workbookViewId="0">
      <selection activeCell="I1" activeCellId="1" sqref="A1:A11 I1:I11"/>
    </sheetView>
  </sheetViews>
  <sheetFormatPr defaultRowHeight="14.4" x14ac:dyDescent="0.3"/>
  <cols>
    <col min="1" max="1" width="9.33203125" bestFit="1" customWidth="1"/>
    <col min="2" max="2" width="16.44140625" bestFit="1" customWidth="1"/>
    <col min="3" max="3" width="14.5546875" bestFit="1" customWidth="1"/>
    <col min="4" max="4" width="9.21875" bestFit="1" customWidth="1"/>
    <col min="5" max="5" width="18" bestFit="1" customWidth="1"/>
    <col min="6" max="6" width="16.33203125" bestFit="1" customWidth="1"/>
    <col min="7" max="7" width="24.5546875" bestFit="1" customWidth="1"/>
    <col min="8" max="8" width="17.5546875" bestFit="1" customWidth="1"/>
    <col min="9" max="9" width="17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46028</v>
      </c>
      <c r="B2">
        <v>20</v>
      </c>
      <c r="C2">
        <v>17</v>
      </c>
      <c r="D2">
        <v>3</v>
      </c>
      <c r="E2">
        <v>120</v>
      </c>
      <c r="F2">
        <f>C2*E2</f>
        <v>2040</v>
      </c>
      <c r="G2">
        <f>D2*E2</f>
        <v>360</v>
      </c>
      <c r="H2">
        <v>35</v>
      </c>
      <c r="I2">
        <v>2</v>
      </c>
    </row>
    <row r="3" spans="1:9" x14ac:dyDescent="0.3">
      <c r="A3" s="1">
        <v>46029</v>
      </c>
      <c r="B3">
        <v>22</v>
      </c>
      <c r="C3">
        <v>19</v>
      </c>
      <c r="D3">
        <v>3</v>
      </c>
      <c r="E3">
        <v>120</v>
      </c>
      <c r="F3">
        <f t="shared" ref="F3:F11" si="0">C3*E3</f>
        <v>2280</v>
      </c>
      <c r="G3">
        <f t="shared" ref="G3:G11" si="1">D3*E3</f>
        <v>360</v>
      </c>
      <c r="H3">
        <v>32</v>
      </c>
      <c r="I3">
        <v>1.5</v>
      </c>
    </row>
    <row r="4" spans="1:9" x14ac:dyDescent="0.3">
      <c r="A4" s="1">
        <v>46030</v>
      </c>
      <c r="B4">
        <v>18</v>
      </c>
      <c r="C4">
        <v>16</v>
      </c>
      <c r="D4">
        <v>2</v>
      </c>
      <c r="E4">
        <v>120</v>
      </c>
      <c r="F4">
        <f t="shared" si="0"/>
        <v>1920</v>
      </c>
      <c r="G4">
        <f t="shared" si="1"/>
        <v>240</v>
      </c>
      <c r="H4">
        <v>28</v>
      </c>
      <c r="I4">
        <v>1</v>
      </c>
    </row>
    <row r="5" spans="1:9" x14ac:dyDescent="0.3">
      <c r="A5" s="1">
        <v>46031</v>
      </c>
      <c r="B5">
        <v>25</v>
      </c>
      <c r="C5">
        <v>20</v>
      </c>
      <c r="D5">
        <v>5</v>
      </c>
      <c r="E5">
        <v>120</v>
      </c>
      <c r="F5">
        <f t="shared" si="0"/>
        <v>2400</v>
      </c>
      <c r="G5">
        <f t="shared" si="1"/>
        <v>600</v>
      </c>
      <c r="H5">
        <v>40</v>
      </c>
      <c r="I5">
        <v>2.5</v>
      </c>
    </row>
    <row r="6" spans="1:9" x14ac:dyDescent="0.3">
      <c r="A6" s="1">
        <v>46032</v>
      </c>
      <c r="B6">
        <v>21</v>
      </c>
      <c r="C6">
        <v>18</v>
      </c>
      <c r="D6">
        <v>3</v>
      </c>
      <c r="E6">
        <v>120</v>
      </c>
      <c r="F6">
        <f t="shared" si="0"/>
        <v>2160</v>
      </c>
      <c r="G6">
        <f t="shared" si="1"/>
        <v>360</v>
      </c>
      <c r="H6">
        <v>30</v>
      </c>
      <c r="I6">
        <v>1</v>
      </c>
    </row>
    <row r="7" spans="1:9" x14ac:dyDescent="0.3">
      <c r="A7" s="1">
        <v>46033</v>
      </c>
      <c r="B7">
        <v>23</v>
      </c>
      <c r="C7">
        <v>20</v>
      </c>
      <c r="D7">
        <v>3</v>
      </c>
      <c r="E7">
        <v>120</v>
      </c>
      <c r="F7">
        <f t="shared" si="0"/>
        <v>2400</v>
      </c>
      <c r="G7">
        <f t="shared" si="1"/>
        <v>360</v>
      </c>
      <c r="H7">
        <v>34</v>
      </c>
      <c r="I7">
        <v>1.8</v>
      </c>
    </row>
    <row r="8" spans="1:9" x14ac:dyDescent="0.3">
      <c r="A8" s="1">
        <v>46034</v>
      </c>
      <c r="B8">
        <v>19</v>
      </c>
      <c r="C8">
        <v>17</v>
      </c>
      <c r="D8">
        <v>2</v>
      </c>
      <c r="E8">
        <v>120</v>
      </c>
      <c r="F8">
        <f t="shared" si="0"/>
        <v>2040</v>
      </c>
      <c r="G8">
        <f t="shared" si="1"/>
        <v>240</v>
      </c>
      <c r="H8">
        <v>27</v>
      </c>
      <c r="I8">
        <v>0.8</v>
      </c>
    </row>
    <row r="9" spans="1:9" x14ac:dyDescent="0.3">
      <c r="A9" s="1">
        <v>46035</v>
      </c>
      <c r="B9">
        <v>24</v>
      </c>
      <c r="C9">
        <v>21</v>
      </c>
      <c r="D9">
        <v>3</v>
      </c>
      <c r="E9">
        <v>120</v>
      </c>
      <c r="F9">
        <f t="shared" si="0"/>
        <v>2520</v>
      </c>
      <c r="G9">
        <f t="shared" si="1"/>
        <v>360</v>
      </c>
      <c r="H9">
        <v>36</v>
      </c>
      <c r="I9">
        <v>2.1</v>
      </c>
    </row>
    <row r="10" spans="1:9" x14ac:dyDescent="0.3">
      <c r="A10" s="1">
        <v>46036</v>
      </c>
      <c r="B10">
        <v>20</v>
      </c>
      <c r="C10">
        <v>18</v>
      </c>
      <c r="D10">
        <v>2</v>
      </c>
      <c r="E10">
        <v>120</v>
      </c>
      <c r="F10">
        <f t="shared" si="0"/>
        <v>2160</v>
      </c>
      <c r="G10">
        <f t="shared" si="1"/>
        <v>240</v>
      </c>
      <c r="H10">
        <v>29</v>
      </c>
      <c r="I10">
        <v>1.2</v>
      </c>
    </row>
    <row r="11" spans="1:9" x14ac:dyDescent="0.3">
      <c r="A11" s="1">
        <v>46037</v>
      </c>
      <c r="B11">
        <v>26</v>
      </c>
      <c r="C11">
        <v>22</v>
      </c>
      <c r="D11">
        <v>4</v>
      </c>
      <c r="E11">
        <v>120</v>
      </c>
      <c r="F11">
        <f t="shared" si="0"/>
        <v>2640</v>
      </c>
      <c r="G11">
        <f t="shared" si="1"/>
        <v>480</v>
      </c>
      <c r="H11">
        <v>38</v>
      </c>
      <c r="I11">
        <v>2.2999999999999998</v>
      </c>
    </row>
    <row r="1048576" spans="8:8" x14ac:dyDescent="0.3">
      <c r="H1048576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86E3-DEF4-4824-8D4C-6F7ACF9CB292}">
  <sheetPr>
    <pageSetUpPr autoPageBreaks="0"/>
  </sheetPr>
  <dimension ref="A1:O80"/>
  <sheetViews>
    <sheetView showGridLines="0" topLeftCell="B1" zoomScale="67" zoomScaleNormal="67" workbookViewId="0">
      <selection activeCell="A80" sqref="A80"/>
    </sheetView>
  </sheetViews>
  <sheetFormatPr defaultRowHeight="14.4" x14ac:dyDescent="0.3"/>
  <cols>
    <col min="10" max="10" width="8.88671875" customWidth="1"/>
  </cols>
  <sheetData>
    <row r="1" spans="1:15" s="5" customFormat="1" ht="21" x14ac:dyDescent="0.4">
      <c r="A1" s="10" t="s">
        <v>19</v>
      </c>
      <c r="B1" s="10"/>
      <c r="C1" s="10"/>
      <c r="D1" s="10"/>
      <c r="E1" s="10"/>
      <c r="F1" s="10"/>
      <c r="G1" s="10"/>
      <c r="H1" s="10"/>
      <c r="I1" s="6"/>
      <c r="J1" s="6"/>
      <c r="K1" s="6"/>
      <c r="L1" s="6"/>
      <c r="M1" s="6"/>
      <c r="N1" s="6"/>
      <c r="O1" s="6"/>
    </row>
    <row r="2" spans="1:15" ht="18" x14ac:dyDescent="0.35">
      <c r="A2" s="11" t="s">
        <v>20</v>
      </c>
      <c r="B2" s="11"/>
      <c r="C2" s="11"/>
      <c r="D2" s="11"/>
      <c r="E2" s="11"/>
      <c r="F2" s="11"/>
      <c r="G2" s="11"/>
      <c r="H2" s="11"/>
      <c r="I2" s="9"/>
      <c r="J2" s="9"/>
      <c r="K2" s="9"/>
      <c r="L2" s="9"/>
      <c r="M2" s="9"/>
      <c r="N2" s="9"/>
      <c r="O2" s="9"/>
    </row>
    <row r="37" spans="1:2" ht="15.6" x14ac:dyDescent="0.3">
      <c r="A37" s="8"/>
      <c r="B37" s="8"/>
    </row>
    <row r="77" spans="1:1" x14ac:dyDescent="0.3">
      <c r="A77" s="7" t="s">
        <v>21</v>
      </c>
    </row>
    <row r="78" spans="1:1" x14ac:dyDescent="0.3">
      <c r="A78" t="s">
        <v>22</v>
      </c>
    </row>
    <row r="79" spans="1:1" x14ac:dyDescent="0.3">
      <c r="A79" t="s">
        <v>23</v>
      </c>
    </row>
    <row r="80" spans="1:1" x14ac:dyDescent="0.3">
      <c r="A80" t="s">
        <v>24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1B0B-A07C-479F-8D41-AB878E75E733}">
  <dimension ref="A1:B9"/>
  <sheetViews>
    <sheetView topLeftCell="AE1" workbookViewId="0">
      <selection activeCell="B5" sqref="B5"/>
    </sheetView>
  </sheetViews>
  <sheetFormatPr defaultRowHeight="14.4" x14ac:dyDescent="0.3"/>
  <cols>
    <col min="1" max="1" width="20.77734375" bestFit="1" customWidth="1"/>
    <col min="2" max="2" width="23.109375" customWidth="1"/>
  </cols>
  <sheetData>
    <row r="1" spans="1:2" x14ac:dyDescent="0.3">
      <c r="A1" t="s">
        <v>9</v>
      </c>
      <c r="B1" t="s">
        <v>10</v>
      </c>
    </row>
    <row r="2" spans="1:2" x14ac:dyDescent="0.3">
      <c r="A2" t="s">
        <v>11</v>
      </c>
      <c r="B2">
        <f>SUM('Raw Data'!B2:B11)</f>
        <v>218</v>
      </c>
    </row>
    <row r="3" spans="1:2" x14ac:dyDescent="0.3">
      <c r="A3" t="s">
        <v>12</v>
      </c>
      <c r="B3">
        <f>SUM('Raw Data'!C2:C11)</f>
        <v>188</v>
      </c>
    </row>
    <row r="4" spans="1:2" x14ac:dyDescent="0.3">
      <c r="A4" t="s">
        <v>13</v>
      </c>
      <c r="B4">
        <f>SUM('Raw Data'!D2:D11)</f>
        <v>30</v>
      </c>
    </row>
    <row r="5" spans="1:2" x14ac:dyDescent="0.3">
      <c r="A5" t="s">
        <v>14</v>
      </c>
      <c r="B5" s="4">
        <f>SUM('Raw Data'!D2:D11)/SUM('Raw Data'!B2:B11)</f>
        <v>0.13761467889908258</v>
      </c>
    </row>
    <row r="6" spans="1:2" x14ac:dyDescent="0.3">
      <c r="A6" t="s">
        <v>15</v>
      </c>
      <c r="B6" s="3">
        <f>SUM('Raw Data'!F2:F11)</f>
        <v>22560</v>
      </c>
    </row>
    <row r="7" spans="1:2" x14ac:dyDescent="0.3">
      <c r="A7" t="s">
        <v>18</v>
      </c>
      <c r="B7" s="3">
        <f>SUM('Raw Data'!G2:G11)</f>
        <v>3600</v>
      </c>
    </row>
    <row r="8" spans="1:2" x14ac:dyDescent="0.3">
      <c r="A8" t="s">
        <v>16</v>
      </c>
      <c r="B8">
        <f>AVERAGE('Raw Data'!H2:H11)</f>
        <v>32.9</v>
      </c>
    </row>
    <row r="9" spans="1:2" x14ac:dyDescent="0.3">
      <c r="A9" t="s">
        <v>17</v>
      </c>
      <c r="B9">
        <f>SUM('Raw Data'!I2:I11)</f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 sheet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Mohitha Gowda</dc:creator>
  <cp:lastModifiedBy>Mohitha Gowda</cp:lastModifiedBy>
  <cp:lastPrinted>2026-06-23T21:11:19Z</cp:lastPrinted>
  <dcterms:created xsi:type="dcterms:W3CDTF">2026-03-16T22:54:16Z</dcterms:created>
  <dcterms:modified xsi:type="dcterms:W3CDTF">2026-06-24T13:29:21Z</dcterms:modified>
</cp:coreProperties>
</file>